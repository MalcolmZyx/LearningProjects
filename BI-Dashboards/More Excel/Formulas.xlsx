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usm-my.sharepoint.com/personal/zartm001_csusm_edu/Documents/Desktop/ProjectsAndMore/"/>
    </mc:Choice>
  </mc:AlternateContent>
  <xr:revisionPtr revIDLastSave="112" documentId="8_{61167DEF-EBBF-48FD-BD81-315526B83A1D}" xr6:coauthVersionLast="47" xr6:coauthVersionMax="47" xr10:uidLastSave="{231C3AFB-9D6D-4CB5-851E-8B28518C5C5A}"/>
  <bookViews>
    <workbookView xWindow="4410" yWindow="2310" windowWidth="17280" windowHeight="10665" firstSheet="7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2" i="13" a="1"/>
  <c r="J2" i="13" s="1"/>
  <c r="L2" i="5"/>
  <c r="K2" i="5"/>
  <c r="J2" i="5"/>
  <c r="L2" i="12"/>
  <c r="K2" i="12"/>
  <c r="J2" i="12"/>
  <c r="K2" i="7" a="1"/>
  <c r="K2" i="7" s="1"/>
  <c r="J2" i="7" a="1"/>
  <c r="J2" i="7" s="1"/>
  <c r="L2" i="7" a="1"/>
  <c r="L2" i="7" s="1"/>
  <c r="K2" i="1" a="1"/>
  <c r="K2" i="1" s="1"/>
  <c r="J2" i="1" a="1"/>
  <c r="J2" i="1" s="1"/>
  <c r="J2" i="6" a="1"/>
  <c r="J2" i="6" s="1"/>
  <c r="L2" i="3" a="1"/>
  <c r="L2" i="3" s="1"/>
  <c r="M2" i="3" s="1" a="1"/>
  <c r="M2" i="3" s="1"/>
  <c r="J2" i="3" a="1"/>
  <c r="J2" i="3" s="1"/>
  <c r="M2" i="4" a="1"/>
  <c r="M2" i="4" s="1"/>
  <c r="L2" i="4" a="1"/>
  <c r="L2" i="4" s="1"/>
  <c r="K2" i="4" a="1"/>
  <c r="K2" i="4" s="1"/>
  <c r="J2" i="2" a="1"/>
  <c r="J2" i="2" s="1"/>
  <c r="K2" i="8" a="1"/>
  <c r="K2" i="8" s="1"/>
  <c r="J2" i="8" a="1"/>
  <c r="J2" i="8" s="1"/>
  <c r="K3" i="9"/>
  <c r="J3" i="9"/>
  <c r="K2" i="9"/>
  <c r="J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<sst xmlns="http://schemas.openxmlformats.org/spreadsheetml/2006/main" count="583" uniqueCount="88">
  <si>
    <t>FirstName</t>
  </si>
  <si>
    <t>LastName</t>
  </si>
  <si>
    <t>Jim</t>
  </si>
  <si>
    <t>Halpert</t>
  </si>
  <si>
    <t>Pam</t>
  </si>
  <si>
    <t>Beasley</t>
  </si>
  <si>
    <t>Dwight</t>
  </si>
  <si>
    <t>Schrute</t>
  </si>
  <si>
    <t>Michael</t>
  </si>
  <si>
    <t>Scott</t>
  </si>
  <si>
    <t>Kevin</t>
  </si>
  <si>
    <t>Malone</t>
  </si>
  <si>
    <t>Martin</t>
  </si>
  <si>
    <t>Angela</t>
  </si>
  <si>
    <t>Toby</t>
  </si>
  <si>
    <t>Flenderson</t>
  </si>
  <si>
    <t>Stanley</t>
  </si>
  <si>
    <t>Hudson</t>
  </si>
  <si>
    <t>CONCATENATE(B2," ",C2)</t>
  </si>
  <si>
    <t>LEN(B2)</t>
  </si>
  <si>
    <t>EmployeeID</t>
  </si>
  <si>
    <t>JobTitle</t>
  </si>
  <si>
    <t>Salary</t>
  </si>
  <si>
    <t>Age</t>
  </si>
  <si>
    <t>Gender</t>
  </si>
  <si>
    <t>Salesman</t>
  </si>
  <si>
    <t>Male</t>
  </si>
  <si>
    <t>Receptionist</t>
  </si>
  <si>
    <t>Female</t>
  </si>
  <si>
    <t>Accountant</t>
  </si>
  <si>
    <t>HR</t>
  </si>
  <si>
    <t>Regional Manager</t>
  </si>
  <si>
    <t>Supplier Relations</t>
  </si>
  <si>
    <t>Meredith</t>
  </si>
  <si>
    <t>Palmer</t>
  </si>
  <si>
    <t>Can be used to see difference between 100s and thousands. Can find bad Social Security numbers if they're 10 digits instead of 9</t>
  </si>
  <si>
    <t>StartDate</t>
  </si>
  <si>
    <t>EndDate</t>
  </si>
  <si>
    <t>Email</t>
  </si>
  <si>
    <t>Jim.Halpert@DunderMifflin.com</t>
  </si>
  <si>
    <t>Pam.Beasley@DunderMifflin.com</t>
  </si>
  <si>
    <t>Dwight.Schrute@AOL.com</t>
  </si>
  <si>
    <t>Angela.Martin@DunderMifflin.com</t>
  </si>
  <si>
    <t>Toby.Flenderson@DunderMifflinCorporate.com</t>
  </si>
  <si>
    <t>Michael.Scott@DunderMifflin.com</t>
  </si>
  <si>
    <t>Meredith.Palmer@Yahoo.com</t>
  </si>
  <si>
    <t>Stanley.Hudson@gmail.com</t>
  </si>
  <si>
    <t>Kevin.Malone@DunderMifflin.com</t>
  </si>
  <si>
    <t>11/2/2001</t>
  </si>
  <si>
    <t>10/3/1999</t>
  </si>
  <si>
    <t>7/4/2000</t>
  </si>
  <si>
    <t>1/5/2000</t>
  </si>
  <si>
    <t>5/6/2001</t>
  </si>
  <si>
    <t>11/8/2003</t>
  </si>
  <si>
    <t>6/9/2002</t>
  </si>
  <si>
    <t>8/10/2003</t>
  </si>
  <si>
    <t>9/6/2015</t>
  </si>
  <si>
    <t>10/10/2015</t>
  </si>
  <si>
    <t>9/8/2017</t>
  </si>
  <si>
    <t>12/3/2015</t>
  </si>
  <si>
    <t>8/30/2017</t>
  </si>
  <si>
    <t>9/11/2013</t>
  </si>
  <si>
    <t>4/22/2015</t>
  </si>
  <si>
    <t xml:space="preserve">Malone </t>
  </si>
  <si>
    <t xml:space="preserve">  Hudson</t>
  </si>
  <si>
    <t xml:space="preserve">   Scott</t>
  </si>
  <si>
    <t xml:space="preserve">Flenderson    </t>
  </si>
  <si>
    <t xml:space="preserve"> Schrute</t>
  </si>
  <si>
    <t>TRIM(C2)</t>
  </si>
  <si>
    <t>It just removes unwanted spaces on both sides</t>
  </si>
  <si>
    <t>TEXT(H2,"dd/mm/yyyy")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</si>
  <si>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</si>
  <si>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</si>
  <si>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</si>
  <si>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</si>
  <si>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</si>
  <si>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</si>
  <si>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</si>
  <si>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</si>
  <si>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</si>
  <si>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Max</t>
  </si>
  <si>
    <t>Min</t>
  </si>
  <si>
    <t>IF</t>
  </si>
  <si>
    <t>IFS</t>
  </si>
  <si>
    <t>DAYS</t>
  </si>
  <si>
    <t>NETWORKDAYS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</si>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</sst>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>
    <tabColor theme="9"/>
  </sheetPr>
  <dimension ref="A1:K10"/>
  <sheetViews>
    <sheetView topLeftCell="B1" workbookViewId="0">
      <selection activeCell="K2" sqref="K2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80</v>
      </c>
      <c r="K1" t="s">
        <v>81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MIN(I2:I10)</f>
        <v>40800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f>MAX(G2:G10)</f>
        <v>65000</v>
      </c>
      <c r="K3">
        <f>MIN(G2:G10)</f>
        <v>36000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topLeftCell="C1" workbookViewId="0">
      <selection activeCell="K11" sqref="K11"/>
    </sheetView>
  </sheetViews>
  <sheetFormatPr defaultColWidth="13.7109375" defaultRowHeight="15" x14ac:dyDescent="0.25"/>
  <cols>
    <col min="1" max="1" width="10.7109375" bestFit="1" customWidth="1"/>
    <col min="4" max="4" width="7.7109375" customWidth="1"/>
    <col min="11" max="11" width="18.855468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82</v>
      </c>
      <c r="K1" t="s">
        <v>83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IF(D2:D10&gt;30,"Old","Young")</f>
        <v>Young</v>
      </c>
      <c r="K2" t="str" cm="1">
        <f t="array" ref="K2:K10">_xlfn.IFS(D2:D10&lt;30,"Baby",D2:D10&lt;38,"Old",D2:D10=38,"Stanley")</f>
        <v>Old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Young</v>
      </c>
      <c r="K3" t="str">
        <v>Old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Young</v>
      </c>
      <c r="K4" t="str">
        <v>Baby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Old</v>
      </c>
      <c r="K5" t="str">
        <v>Old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Old</v>
      </c>
      <c r="K6" t="str">
        <v>Old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Old</v>
      </c>
      <c r="K7" t="str">
        <v>Old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Old</v>
      </c>
      <c r="K8" t="str">
        <v>Old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Old</v>
      </c>
      <c r="K9" t="str">
        <v>Stanley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Old</v>
      </c>
      <c r="K10" t="str">
        <v>Old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J11" sqref="J11"/>
    </sheetView>
  </sheetViews>
  <sheetFormatPr defaultColWidth="10.85546875" defaultRowHeight="15" x14ac:dyDescent="0.25"/>
  <cols>
    <col min="1" max="1" width="10.7109375" bestFit="1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19</v>
      </c>
      <c r="L1" t="s">
        <v>35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cm="1">
        <f t="array" ref="J2:J10">LEN(C2:C10)</f>
        <v>7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>
        <v>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>
        <v>7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>
        <v>6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>
        <v>10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>
        <v>5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>
        <v>6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>
        <v>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topLeftCell="G1" workbookViewId="0">
      <selection activeCell="L11" sqref="L11"/>
    </sheetView>
  </sheetViews>
  <sheetFormatPr defaultColWidth="14.5703125" defaultRowHeight="15" x14ac:dyDescent="0.25"/>
  <cols>
    <col min="4" max="4" width="8" customWidth="1"/>
    <col min="10" max="10" width="44.4257812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38</v>
      </c>
      <c r="K1" t="s">
        <v>86</v>
      </c>
      <c r="L1" t="s">
        <v>87</v>
      </c>
      <c r="M1" t="s">
        <v>87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s="1" t="s">
        <v>39</v>
      </c>
      <c r="K2" t="str" cm="1">
        <f t="array" ref="K2:K10">LEFT(B2:B10,3)</f>
        <v>Jim</v>
      </c>
      <c r="L2" t="str" cm="1">
        <f t="array" ref="L2:L10">RIGHT(A2:A10,1)</f>
        <v>1</v>
      </c>
      <c r="M2" t="str" cm="1">
        <f t="array" ref="M2:M10">RIGHT(I2:I10,4)</f>
        <v>2015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s="1" t="s">
        <v>40</v>
      </c>
      <c r="K3" t="str">
        <v>Pam</v>
      </c>
      <c r="L3" t="str">
        <v>2</v>
      </c>
      <c r="M3" t="str">
        <v>2015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s="1" t="s">
        <v>41</v>
      </c>
      <c r="K4" t="str">
        <v>Dwi</v>
      </c>
      <c r="L4" t="str">
        <v>3</v>
      </c>
      <c r="M4" t="str">
        <v>2017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s="1" t="s">
        <v>42</v>
      </c>
      <c r="K5" t="str">
        <v>Ang</v>
      </c>
      <c r="L5" t="str">
        <v>4</v>
      </c>
      <c r="M5" t="str">
        <v>2015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s="1" t="s">
        <v>43</v>
      </c>
      <c r="K6" t="str">
        <v>Tob</v>
      </c>
      <c r="L6" t="str">
        <v>5</v>
      </c>
      <c r="M6" t="str">
        <v>2017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s="1" t="s">
        <v>44</v>
      </c>
      <c r="K7" t="str">
        <v>Mic</v>
      </c>
      <c r="L7" t="str">
        <v>6</v>
      </c>
      <c r="M7" t="str">
        <v>2013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s="1" t="s">
        <v>45</v>
      </c>
      <c r="K8" t="str">
        <v>Mer</v>
      </c>
      <c r="L8" t="str">
        <v>7</v>
      </c>
      <c r="M8" t="str">
        <v>2013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s="1" t="s">
        <v>46</v>
      </c>
      <c r="K9" t="str">
        <v>Sta</v>
      </c>
      <c r="L9" t="str">
        <v>8</v>
      </c>
      <c r="M9" t="str">
        <v>2015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s="1" t="s">
        <v>47</v>
      </c>
      <c r="K10" t="str">
        <v>Kev</v>
      </c>
      <c r="L10" t="str">
        <v>9</v>
      </c>
      <c r="M10" t="str">
        <v>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M13"/>
  <sheetViews>
    <sheetView topLeftCell="D1" workbookViewId="0">
      <selection activeCell="M17" sqref="M17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3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70</v>
      </c>
    </row>
    <row r="2" spans="1:13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s="2"/>
      <c r="L2" t="str" cm="1">
        <f t="array" ref="L2:L10">TEXT(J2:J10,"dd/mm/yyyy")</f>
        <v>11/02/2001</v>
      </c>
      <c r="M2" t="str" cm="1">
        <f t="array" ref="M2:M10">RIGHT(L2:L10,4)</f>
        <v>2001</v>
      </c>
    </row>
    <row r="3" spans="1:13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03/10/1999</v>
      </c>
      <c r="L3" t="str">
        <v>10/03/1999</v>
      </c>
      <c r="M3" t="str">
        <v>1999</v>
      </c>
    </row>
    <row r="4" spans="1:13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04/07/2000</v>
      </c>
      <c r="K4" s="2"/>
      <c r="L4" t="str">
        <v>07/04/2000</v>
      </c>
      <c r="M4" t="str">
        <v>2000</v>
      </c>
    </row>
    <row r="5" spans="1:13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05/01/2000</v>
      </c>
      <c r="K5" s="2"/>
      <c r="L5" t="str">
        <v>01/05/2000</v>
      </c>
      <c r="M5" t="str">
        <v>2000</v>
      </c>
    </row>
    <row r="6" spans="1:13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06/05/2001</v>
      </c>
      <c r="K6" s="2"/>
      <c r="L6" t="str">
        <v>05/06/2001</v>
      </c>
      <c r="M6" t="str">
        <v>2001</v>
      </c>
    </row>
    <row r="7" spans="1:13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07/12/1995</v>
      </c>
      <c r="K7" s="2"/>
      <c r="L7" t="str">
        <v>12/07/1995</v>
      </c>
      <c r="M7" t="str">
        <v>1995</v>
      </c>
    </row>
    <row r="8" spans="1:13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08/11/2003</v>
      </c>
      <c r="K8" s="2"/>
      <c r="L8" t="str">
        <v>11/08/2003</v>
      </c>
      <c r="M8" t="str">
        <v>2003</v>
      </c>
    </row>
    <row r="9" spans="1:13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09/06/2002</v>
      </c>
      <c r="K9" s="2"/>
      <c r="L9" t="str">
        <v>06/09/2002</v>
      </c>
      <c r="M9" t="str">
        <v>2002</v>
      </c>
    </row>
    <row r="10" spans="1:13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10/08/2003</v>
      </c>
      <c r="K10" s="2"/>
      <c r="L10" t="str">
        <v>08/10/2003</v>
      </c>
      <c r="M10" t="str">
        <v>2003</v>
      </c>
    </row>
    <row r="12" spans="1:13" x14ac:dyDescent="0.25">
      <c r="H12" s="1"/>
    </row>
    <row r="13" spans="1:13" x14ac:dyDescent="0.25">
      <c r="H13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topLeftCell="D1" workbookViewId="0">
      <selection activeCell="J3" sqref="J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68</v>
      </c>
      <c r="K1" t="s">
        <v>69</v>
      </c>
    </row>
    <row r="2" spans="1:11" x14ac:dyDescent="0.25">
      <c r="A2">
        <v>1001</v>
      </c>
      <c r="B2" s="2" t="s">
        <v>2</v>
      </c>
      <c r="C2" s="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 x14ac:dyDescent="0.25">
      <c r="A3">
        <v>1002</v>
      </c>
      <c r="B3" s="2" t="s">
        <v>4</v>
      </c>
      <c r="C3" s="2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Beasley</v>
      </c>
    </row>
    <row r="4" spans="1:11" x14ac:dyDescent="0.25">
      <c r="A4">
        <v>1003</v>
      </c>
      <c r="B4" s="2" t="s">
        <v>6</v>
      </c>
      <c r="C4" s="2" t="s">
        <v>67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Schrute</v>
      </c>
    </row>
    <row r="5" spans="1:11" x14ac:dyDescent="0.25">
      <c r="A5">
        <v>1004</v>
      </c>
      <c r="B5" s="2" t="s">
        <v>13</v>
      </c>
      <c r="C5" s="2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Martin</v>
      </c>
    </row>
    <row r="6" spans="1:11" x14ac:dyDescent="0.25">
      <c r="A6">
        <v>1005</v>
      </c>
      <c r="B6" s="2" t="s">
        <v>14</v>
      </c>
      <c r="C6" s="2" t="s">
        <v>66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Flenderson</v>
      </c>
    </row>
    <row r="7" spans="1:11" x14ac:dyDescent="0.25">
      <c r="A7">
        <v>1006</v>
      </c>
      <c r="B7" s="2" t="s">
        <v>8</v>
      </c>
      <c r="C7" s="2" t="s">
        <v>65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Scott</v>
      </c>
    </row>
    <row r="8" spans="1:11" x14ac:dyDescent="0.25">
      <c r="A8">
        <v>1007</v>
      </c>
      <c r="B8" s="2" t="s">
        <v>33</v>
      </c>
      <c r="C8" s="2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Palmer</v>
      </c>
    </row>
    <row r="9" spans="1:11" x14ac:dyDescent="0.25">
      <c r="A9">
        <v>1008</v>
      </c>
      <c r="B9" s="2" t="s">
        <v>16</v>
      </c>
      <c r="C9" s="2" t="s">
        <v>64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Hudson</v>
      </c>
    </row>
    <row r="10" spans="1:11" x14ac:dyDescent="0.25">
      <c r="A10">
        <v>1009</v>
      </c>
      <c r="B10" s="2" t="s">
        <v>10</v>
      </c>
      <c r="C10" s="2" t="s">
        <v>63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L20"/>
  <sheetViews>
    <sheetView topLeftCell="C1" workbookViewId="0">
      <selection activeCell="M11" sqref="M11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71</v>
      </c>
      <c r="K1" t="s">
        <v>72</v>
      </c>
      <c r="L1" t="s">
        <v>73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t="str" cm="1">
        <f t="array" ref="J2:J10">SUBSTITUTE(H2:H10,"/","-",1)</f>
        <v>11-2/2001</v>
      </c>
      <c r="K2" t="str" cm="1">
        <f t="array" ref="K2:K10">SUBSTITUTE(H2:H10,"/","-",2)</f>
        <v>11/2-2001</v>
      </c>
      <c r="L2" t="str" cm="1">
        <f t="array" ref="L2:L10">SUBSTITUTE(H2:H10,"/","-")</f>
        <v>11-2-2001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 t="str">
        <v>10-3/1999</v>
      </c>
      <c r="K3" t="str">
        <v>10/3-1999</v>
      </c>
      <c r="L3" t="str">
        <v>10-3-1999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 t="str">
        <v>7-4/2000</v>
      </c>
      <c r="K4" t="str">
        <v>7/4-2000</v>
      </c>
      <c r="L4" t="str">
        <v>7-4-2000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 t="str">
        <v>1-5/2000</v>
      </c>
      <c r="K5" t="str">
        <v>1/5-2000</v>
      </c>
      <c r="L5" t="str">
        <v>1-5-2000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 t="str">
        <v>5-6/2001</v>
      </c>
      <c r="K6" t="str">
        <v>5/6-2001</v>
      </c>
      <c r="L6" t="str">
        <v>5-6-2001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 t="str">
        <v>5-6/2001</v>
      </c>
      <c r="K7" t="str">
        <v>5/6-2001</v>
      </c>
      <c r="L7" t="str">
        <v>5-6-2001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 t="str">
        <v>11-8/2003</v>
      </c>
      <c r="K8" t="str">
        <v>11/8-2003</v>
      </c>
      <c r="L8" t="str">
        <v>11-8-2003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 t="str">
        <v>6-9/2002</v>
      </c>
      <c r="K9" t="str">
        <v>6/9-2002</v>
      </c>
      <c r="L9" t="str">
        <v>6-9-2002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 t="str">
        <v>8-10/2003</v>
      </c>
      <c r="K10" t="str">
        <v>8/10-2003</v>
      </c>
      <c r="L10" t="str">
        <v>8-10-2003</v>
      </c>
    </row>
    <row r="12" spans="1:12" x14ac:dyDescent="0.25">
      <c r="H12" s="2"/>
      <c r="I12" s="2"/>
    </row>
    <row r="13" spans="1:12" x14ac:dyDescent="0.25">
      <c r="H13" s="2"/>
      <c r="I13" s="2"/>
    </row>
    <row r="14" spans="1:12" x14ac:dyDescent="0.25">
      <c r="H14" s="2"/>
      <c r="I14" s="2"/>
    </row>
    <row r="15" spans="1:12" x14ac:dyDescent="0.25">
      <c r="H15" s="2"/>
      <c r="I15" s="2"/>
    </row>
    <row r="16" spans="1:12" x14ac:dyDescent="0.25">
      <c r="H16" s="2"/>
      <c r="I16" s="2"/>
    </row>
    <row r="17" spans="8:9" x14ac:dyDescent="0.25">
      <c r="H17" s="2"/>
      <c r="I17" s="2"/>
    </row>
    <row r="18" spans="8:9" x14ac:dyDescent="0.25">
      <c r="H18" s="2"/>
      <c r="I18" s="2"/>
    </row>
    <row r="19" spans="8:9" x14ac:dyDescent="0.25">
      <c r="H19" s="2"/>
      <c r="I19" s="2"/>
    </row>
    <row r="20" spans="8:9" x14ac:dyDescent="0.25">
      <c r="H20" s="2"/>
      <c r="I20" s="2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topLeftCell="B1" workbookViewId="0">
      <selection activeCell="L3" sqref="L3"/>
    </sheetView>
  </sheetViews>
  <sheetFormatPr defaultColWidth="13" defaultRowHeight="15" x14ac:dyDescent="0.25"/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74</v>
      </c>
      <c r="K1" t="s">
        <v>75</v>
      </c>
      <c r="L1" t="s">
        <v>76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SUMIF(G2:G10,"&gt;50000")</f>
        <v>128000</v>
      </c>
      <c r="L2">
        <f>SUMIFS(G2:G10,E2:E10,"Female",D2:D10,"&gt;30")</f>
        <v>88000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topLeftCell="F1" workbookViewId="0">
      <selection activeCell="L3" sqref="L3"/>
    </sheetView>
  </sheetViews>
  <sheetFormatPr defaultColWidth="13.7109375" defaultRowHeight="15" x14ac:dyDescent="0.25"/>
  <cols>
    <col min="1" max="1" width="10.7109375" bestFit="1" customWidth="1"/>
    <col min="4" max="4" width="7.7109375" customWidth="1"/>
  </cols>
  <sheetData>
    <row r="1" spans="1:12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77</v>
      </c>
      <c r="K1" t="s">
        <v>78</v>
      </c>
      <c r="L1" t="s">
        <v>79</v>
      </c>
    </row>
    <row r="2" spans="1:12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>
        <f>COUNT(D2:D10)</f>
        <v>9</v>
      </c>
      <c r="K2">
        <f>COUNTIF(G2:G10,"&gt;45000")</f>
        <v>5</v>
      </c>
      <c r="L2">
        <f>COUNTIFS(A2:A10,"&gt;1005",E2:E10,"Male")</f>
        <v>3</v>
      </c>
    </row>
    <row r="3" spans="1:12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</row>
    <row r="4" spans="1:12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</row>
    <row r="5" spans="1:12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</row>
    <row r="6" spans="1:12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</row>
    <row r="7" spans="1:12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</row>
    <row r="8" spans="1:12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</row>
    <row r="9" spans="1:12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</row>
    <row r="10" spans="1:12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topLeftCell="F1" workbookViewId="0">
      <selection activeCell="L12" sqref="L12"/>
    </sheetView>
  </sheetViews>
  <sheetFormatPr defaultRowHeight="15" x14ac:dyDescent="0.2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3.42578125" customWidth="1"/>
    <col min="11" max="11" width="27.57031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18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1">
        <v>37197</v>
      </c>
      <c r="I2" s="1">
        <v>42253</v>
      </c>
      <c r="J2" t="str" cm="1">
        <f t="array" ref="J2:J10">CONCATENATE(B2:B10," ",C2:C10)</f>
        <v>Jim Halpert</v>
      </c>
      <c r="K2" t="str" cm="1">
        <f t="array" ref="K2:K10">CONCATENATE(B2:B10,".",C2:C10,"@gmail.com")</f>
        <v>Jim.Halpert@gmail.com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1">
        <v>36436</v>
      </c>
      <c r="I3" s="1">
        <v>42287</v>
      </c>
      <c r="J3" t="str">
        <v>Pam Beasley</v>
      </c>
      <c r="K3" t="str">
        <v>Pam.Beasley@gmail.com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1">
        <v>36711</v>
      </c>
      <c r="I4" s="1">
        <v>42986</v>
      </c>
      <c r="J4" t="str">
        <v>Dwight Schrute</v>
      </c>
      <c r="K4" t="str">
        <v>Dwight.Schrute@gmail.com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1">
        <v>36530</v>
      </c>
      <c r="I5" s="1">
        <v>42341</v>
      </c>
      <c r="J5" t="str">
        <v>Angela Martin</v>
      </c>
      <c r="K5" t="str">
        <v>Angela.Martin@gmail.com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1">
        <v>37017</v>
      </c>
      <c r="I6" s="1">
        <v>42977</v>
      </c>
      <c r="J6" t="str">
        <v>Toby Flenderson</v>
      </c>
      <c r="K6" t="str">
        <v>Toby.Flenderson@gmail.com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1">
        <v>35040</v>
      </c>
      <c r="I7" s="1">
        <v>41528</v>
      </c>
      <c r="J7" t="str">
        <v>Michael Scott</v>
      </c>
      <c r="K7" t="str">
        <v>Michael.Scott@gmail.com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1">
        <v>37933</v>
      </c>
      <c r="I8" s="1">
        <v>41551</v>
      </c>
      <c r="J8" t="str">
        <v>Meredith Palmer</v>
      </c>
      <c r="K8" t="str">
        <v>Meredith.Palmer@gmail.com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1">
        <v>37416</v>
      </c>
      <c r="I9" s="1">
        <v>42116</v>
      </c>
      <c r="J9" t="str">
        <v>Stanley Hudson</v>
      </c>
      <c r="K9" t="str">
        <v>Stanley.Hudson@gmail.com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1">
        <v>37843</v>
      </c>
      <c r="I10" s="1">
        <v>40800</v>
      </c>
      <c r="J10" t="str">
        <v>Kevin Malone</v>
      </c>
      <c r="K10" t="str">
        <v>Kevin.Malone@gmail.com</v>
      </c>
    </row>
    <row r="11" spans="1:11" x14ac:dyDescent="0.25">
      <c r="H11" t="str">
        <f t="shared" ref="H11:H12" si="0">CONCATENATE(B11," ",C11)</f>
        <v xml:space="preserve"> </v>
      </c>
    </row>
    <row r="12" spans="1:11" x14ac:dyDescent="0.25">
      <c r="H12" t="str">
        <f t="shared" si="0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E15" sqref="E15"/>
    </sheetView>
  </sheetViews>
  <sheetFormatPr defaultRowHeight="15" x14ac:dyDescent="0.25"/>
  <cols>
    <col min="8" max="8" width="14.42578125" customWidth="1"/>
    <col min="9" max="9" width="13.28515625" customWidth="1"/>
  </cols>
  <sheetData>
    <row r="1" spans="1:11" x14ac:dyDescent="0.25">
      <c r="A1" t="s">
        <v>20</v>
      </c>
      <c r="B1" t="s">
        <v>0</v>
      </c>
      <c r="C1" t="s">
        <v>1</v>
      </c>
      <c r="D1" t="s">
        <v>23</v>
      </c>
      <c r="E1" t="s">
        <v>24</v>
      </c>
      <c r="F1" t="s">
        <v>21</v>
      </c>
      <c r="G1" t="s">
        <v>22</v>
      </c>
      <c r="H1" t="s">
        <v>36</v>
      </c>
      <c r="I1" t="s">
        <v>37</v>
      </c>
      <c r="J1" t="s">
        <v>84</v>
      </c>
      <c r="K1" t="s">
        <v>85</v>
      </c>
    </row>
    <row r="2" spans="1:11" x14ac:dyDescent="0.25">
      <c r="A2">
        <v>1001</v>
      </c>
      <c r="B2" t="s">
        <v>2</v>
      </c>
      <c r="C2" t="s">
        <v>3</v>
      </c>
      <c r="D2">
        <v>30</v>
      </c>
      <c r="E2" t="s">
        <v>26</v>
      </c>
      <c r="F2" t="s">
        <v>25</v>
      </c>
      <c r="G2">
        <v>45000</v>
      </c>
      <c r="H2" s="2" t="s">
        <v>48</v>
      </c>
      <c r="I2" s="2" t="s">
        <v>56</v>
      </c>
      <c r="J2" cm="1">
        <f t="array" ref="J2:J10">_xlfn.DAYS(I2:I10,H2:H10)</f>
        <v>5056</v>
      </c>
      <c r="K2">
        <f>NETWORKDAYS(H2,I2)</f>
        <v>3611</v>
      </c>
    </row>
    <row r="3" spans="1:11" x14ac:dyDescent="0.25">
      <c r="A3">
        <v>1002</v>
      </c>
      <c r="B3" t="s">
        <v>4</v>
      </c>
      <c r="C3" t="s">
        <v>5</v>
      </c>
      <c r="D3">
        <v>30</v>
      </c>
      <c r="E3" t="s">
        <v>28</v>
      </c>
      <c r="F3" t="s">
        <v>27</v>
      </c>
      <c r="G3">
        <v>36000</v>
      </c>
      <c r="H3" s="2" t="s">
        <v>49</v>
      </c>
      <c r="I3" s="2" t="s">
        <v>57</v>
      </c>
      <c r="J3">
        <v>5851</v>
      </c>
      <c r="K3">
        <f t="shared" ref="K3:K10" si="0">NETWORKDAYS(H3,I3)</f>
        <v>4180</v>
      </c>
    </row>
    <row r="4" spans="1:11" x14ac:dyDescent="0.25">
      <c r="A4">
        <v>1003</v>
      </c>
      <c r="B4" t="s">
        <v>6</v>
      </c>
      <c r="C4" t="s">
        <v>7</v>
      </c>
      <c r="D4">
        <v>29</v>
      </c>
      <c r="E4" t="s">
        <v>26</v>
      </c>
      <c r="F4" t="s">
        <v>25</v>
      </c>
      <c r="G4">
        <v>63000</v>
      </c>
      <c r="H4" s="2" t="s">
        <v>50</v>
      </c>
      <c r="I4" s="2" t="s">
        <v>58</v>
      </c>
      <c r="J4">
        <v>6275</v>
      </c>
      <c r="K4">
        <f t="shared" si="0"/>
        <v>4484</v>
      </c>
    </row>
    <row r="5" spans="1:11" x14ac:dyDescent="0.25">
      <c r="A5">
        <v>1004</v>
      </c>
      <c r="B5" t="s">
        <v>13</v>
      </c>
      <c r="C5" t="s">
        <v>12</v>
      </c>
      <c r="D5">
        <v>31</v>
      </c>
      <c r="E5" t="s">
        <v>28</v>
      </c>
      <c r="F5" t="s">
        <v>29</v>
      </c>
      <c r="G5">
        <v>47000</v>
      </c>
      <c r="H5" s="2" t="s">
        <v>51</v>
      </c>
      <c r="I5" s="2" t="s">
        <v>59</v>
      </c>
      <c r="J5">
        <v>5811</v>
      </c>
      <c r="K5">
        <f t="shared" si="0"/>
        <v>4152</v>
      </c>
    </row>
    <row r="6" spans="1:11" x14ac:dyDescent="0.25">
      <c r="A6">
        <v>1005</v>
      </c>
      <c r="B6" t="s">
        <v>14</v>
      </c>
      <c r="C6" t="s">
        <v>15</v>
      </c>
      <c r="D6">
        <v>32</v>
      </c>
      <c r="E6" t="s">
        <v>26</v>
      </c>
      <c r="F6" t="s">
        <v>30</v>
      </c>
      <c r="G6">
        <v>50000</v>
      </c>
      <c r="H6" s="2" t="s">
        <v>52</v>
      </c>
      <c r="I6" s="2" t="s">
        <v>60</v>
      </c>
      <c r="J6">
        <v>5960</v>
      </c>
      <c r="K6">
        <f t="shared" si="0"/>
        <v>4258</v>
      </c>
    </row>
    <row r="7" spans="1:11" x14ac:dyDescent="0.25">
      <c r="A7">
        <v>1006</v>
      </c>
      <c r="B7" t="s">
        <v>8</v>
      </c>
      <c r="C7" t="s">
        <v>9</v>
      </c>
      <c r="D7">
        <v>35</v>
      </c>
      <c r="E7" t="s">
        <v>26</v>
      </c>
      <c r="F7" t="s">
        <v>31</v>
      </c>
      <c r="G7">
        <v>65000</v>
      </c>
      <c r="H7" s="2" t="s">
        <v>52</v>
      </c>
      <c r="I7" s="2" t="s">
        <v>61</v>
      </c>
      <c r="J7">
        <v>4511</v>
      </c>
      <c r="K7">
        <f t="shared" si="0"/>
        <v>3223</v>
      </c>
    </row>
    <row r="8" spans="1:11" x14ac:dyDescent="0.25">
      <c r="A8">
        <v>1007</v>
      </c>
      <c r="B8" t="s">
        <v>33</v>
      </c>
      <c r="C8" t="s">
        <v>34</v>
      </c>
      <c r="D8">
        <v>32</v>
      </c>
      <c r="E8" t="s">
        <v>28</v>
      </c>
      <c r="F8" t="s">
        <v>32</v>
      </c>
      <c r="G8">
        <v>41000</v>
      </c>
      <c r="H8" s="2" t="s">
        <v>53</v>
      </c>
      <c r="I8" s="2" t="s">
        <v>61</v>
      </c>
      <c r="J8">
        <v>3595</v>
      </c>
      <c r="K8">
        <f t="shared" si="0"/>
        <v>2568</v>
      </c>
    </row>
    <row r="9" spans="1:11" x14ac:dyDescent="0.25">
      <c r="A9">
        <v>1008</v>
      </c>
      <c r="B9" t="s">
        <v>16</v>
      </c>
      <c r="C9" t="s">
        <v>17</v>
      </c>
      <c r="D9">
        <v>38</v>
      </c>
      <c r="E9" t="s">
        <v>26</v>
      </c>
      <c r="F9" t="s">
        <v>25</v>
      </c>
      <c r="G9">
        <v>48000</v>
      </c>
      <c r="H9" s="2" t="s">
        <v>54</v>
      </c>
      <c r="I9" s="2" t="s">
        <v>62</v>
      </c>
      <c r="J9">
        <v>4700</v>
      </c>
      <c r="K9">
        <f t="shared" si="0"/>
        <v>3358</v>
      </c>
    </row>
    <row r="10" spans="1:11" x14ac:dyDescent="0.25">
      <c r="A10">
        <v>1009</v>
      </c>
      <c r="B10" t="s">
        <v>10</v>
      </c>
      <c r="C10" t="s">
        <v>11</v>
      </c>
      <c r="D10">
        <v>31</v>
      </c>
      <c r="E10" t="s">
        <v>26</v>
      </c>
      <c r="F10" t="s">
        <v>29</v>
      </c>
      <c r="G10">
        <v>42000</v>
      </c>
      <c r="H10" s="2" t="s">
        <v>55</v>
      </c>
      <c r="I10" s="2" t="s">
        <v>62</v>
      </c>
      <c r="J10">
        <v>4273</v>
      </c>
      <c r="K10">
        <f t="shared" si="0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Max-Min</vt:lpstr>
      <vt:lpstr>IF-IFS</vt:lpstr>
      <vt:lpstr>Len</vt:lpstr>
      <vt:lpstr>LeftRight</vt:lpstr>
      <vt:lpstr>DateToText</vt:lpstr>
      <vt:lpstr>TRIM</vt:lpstr>
      <vt:lpstr>Substitute</vt:lpstr>
      <vt:lpstr>SUM-SumIF</vt:lpstr>
      <vt:lpstr>Count-CountIF</vt:lpstr>
      <vt:lpstr>Concatenate</vt:lpstr>
      <vt:lpstr>Days-NetworkDays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Malcolm Zartman</cp:lastModifiedBy>
  <dcterms:created xsi:type="dcterms:W3CDTF">2021-12-16T14:18:34Z</dcterms:created>
  <dcterms:modified xsi:type="dcterms:W3CDTF">2025-01-03T02:50:14Z</dcterms:modified>
</cp:coreProperties>
</file>